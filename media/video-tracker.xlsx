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s" sheetId="1" state="visible" r:id="rId3"/>
    <sheet name="Summary" sheetId="2" state="visible" r:id="rId4"/>
  </sheets>
  <definedNames>
    <definedName function="false" hidden="true" localSheetId="0" name="_xlnm._FilterDatabase" vbProcedure="false">Videos!$A$1:$O$5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<sst xmlns="http://schemas.openxmlformats.org/spreadsheetml/2006/main" count="72" uniqueCount="45">
  <si>
    <t xml:space="preserve">#</t>
  </si>
  <si>
    <t xml:space="preserve">Slug</t>
  </si>
  <si>
    <t xml:space="preserve">Title</t>
  </si>
  <si>
    <t xml:space="preserve">Source file</t>
  </si>
  <si>
    <t xml:space="preserve">Received</t>
  </si>
  <si>
    <t xml:space="preserve">Completed</t>
  </si>
  <si>
    <t xml:space="preserve">Duration (s)</t>
  </si>
  <si>
    <t xml:space="preserve">Video + logo</t>
  </si>
  <si>
    <t xml:space="preserve">1 s cover intro</t>
  </si>
  <si>
    <t xml:space="preserve">Cover 1:1 (Instagram)</t>
  </si>
  <si>
    <t xml:space="preserve">YT Short thumbnail 9:16</t>
  </si>
  <si>
    <t xml:space="preserve">Caption</t>
  </si>
  <si>
    <t xml:space="preserve">Status</t>
  </si>
  <si>
    <t xml:space="preserve">Notes</t>
  </si>
  <si>
    <t xml:space="preserve">GitHub folder</t>
  </si>
  <si>
    <t xml:space="preserve">isp-to-laptop</t>
  </si>
  <si>
    <t xml:space="preserve">From ISP to Laptop: How Does the Internet Reach Your Desk?</t>
  </si>
  <si>
    <t xml:space="preserve">Generated by Claude (motion graphics + TTS voiceover)</t>
  </si>
  <si>
    <t xml:space="preserve">2026-10-24</t>
  </si>
  <si>
    <t xml:space="preserve">2026-10-31</t>
  </si>
  <si>
    <t xml:space="preserve">Yes</t>
  </si>
  <si>
    <t xml:space="preserve">Original Global Scope production; no logo swap needed. Also has a 9:16 cover and Google Flow prompt pack.</t>
  </si>
  <si>
    <t xml:space="preserve">Open folder</t>
  </si>
  <si>
    <t xml:space="preserve">grid-to-gpu</t>
  </si>
  <si>
    <t xml:space="preserve">Grid to GPU: How Does Power Actually Reach a Data Centre Server?</t>
  </si>
  <si>
    <t xml:space="preserve">[GRID → GPU] How does power actually reach a data center server.mp4</t>
  </si>
  <si>
    <t xml:space="preserve">cdu-cooling</t>
  </si>
  <si>
    <t xml:space="preserve">How Does a CDU Cool a High-Density AI Data Centre?</t>
  </si>
  <si>
    <t xml:space="preserve">How does a CDU cool a high-density AI data center.mp4</t>
  </si>
  <si>
    <t xml:space="preserve">2026-10-28</t>
  </si>
  <si>
    <t xml:space="preserve">building-a-data-centre</t>
  </si>
  <si>
    <t xml:space="preserve">Building a Data Centre: From Empty Shell to Fully Operational Infrastructure</t>
  </si>
  <si>
    <t xml:space="preserve">Building a Data Centre - From Empty Shell to Fully Operational Infrastructure.mp4</t>
  </si>
  <si>
    <t xml:space="preserve">No narration; 40 s build sequence. Caption based on the user's own description.</t>
  </si>
  <si>
    <t xml:space="preserve">Global Scope video pipeline</t>
  </si>
  <si>
    <t xml:space="preserve">Total videos</t>
  </si>
  <si>
    <t xml:space="preserve">Done</t>
  </si>
  <si>
    <t xml:space="preserve">In progress</t>
  </si>
  <si>
    <t xml:space="preserve">Waiting in inbox</t>
  </si>
  <si>
    <t xml:space="preserve">Total runtime (s)</t>
  </si>
  <si>
    <t xml:space="preserve">How this file works</t>
  </si>
  <si>
    <t xml:space="preserve">Rebuilt automatically by Claude after each video is processed; edits made here are overwritten.</t>
  </si>
  <si>
    <t xml:space="preserve">Yes/No columns reflect which files exist in the video's GitHub folder.</t>
  </si>
  <si>
    <t xml:space="preserve">Status is a formula: Done when all five deliverables are Yes.</t>
  </si>
  <si>
    <t xml:space="preserve">New videos: put them in Media\Inbox on your PC and run sync-media.ps1; they appear here as 'In inbox'.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</si>
</sst>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DF"/>
          <bgColor rgb="FF000000"/>
        </patternFill>
      </fill>
    </dxf>
    <dxf>
      <fill>
        <patternFill patternType="solid">
          <fgColor rgb="FF067647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D1FADF"/>
        </patternFill>
      </fill>
    </dxf>
    <dxf>
      <fill>
        <patternFill>
          <bgColor rgb="FFFEF0C7"/>
        </patternFill>
      </fill>
    </dxf>
    <dxf>
      <font>
        <name val="Arial"/>
        <charset val="1"/>
        <family val="0"/>
        <b val="1"/>
        <color rgb="FF067647"/>
      </font>
      <fill>
        <patternFill>
          <bgColor rgb="FFD1FADF"/>
        </patternFill>
      </fill>
    </dxf>
    <dxf>
      <font>
        <name val="Arial"/>
        <charset val="1"/>
        <family val="0"/>
        <b val="1"/>
      </font>
      <fill>
        <patternFill>
          <bgColor rgb="FFFEF0C7"/>
        </patternFill>
      </fill>
    </dxf>
    <dxf>
      <font>
        <name val="Arial"/>
        <charset val="1"/>
        <family val="0"/>
        <b val="1"/>
      </font>
      <fill>
        <patternFill>
          <bgColor rgb="FFEAEC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7647"/>
      <rgbColor rgb="FFC0C0C0"/>
      <rgbColor rgb="FF808080"/>
      <rgbColor rgb="FF9999FF"/>
      <rgbColor rgb="FF993366"/>
      <rgbColor rgb="FFFEF0C7"/>
      <rgbColor rgb="FFEAECF0"/>
      <rgbColor rgb="FF660066"/>
      <rgbColor rgb="FFFF8080"/>
      <rgbColor rgb="FF0563C1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globalscopeqa/globalscope/tree/ccr-bae6bdbf-qv17eb/media/isp-to-laptop" TargetMode="External"/><Relationship Id="rId2" Type="http://schemas.openxmlformats.org/officeDocument/2006/relationships/hyperlink" Target="https://github.com/globalscopeqa/globalscope/tree/ccr-bae6bdbf-qv17eb/media/grid-to-gpu" TargetMode="External"/><Relationship Id="rId3" Type="http://schemas.openxmlformats.org/officeDocument/2006/relationships/hyperlink" Target="https://github.com/globalscopeqa/globalscope/tree/ccr-bae6bdbf-qv17eb/media/cdu-cooling" TargetMode="External"/><Relationship Id="rId4" Type="http://schemas.openxmlformats.org/officeDocument/2006/relationships/hyperlink" Target="https://github.com/globalscopeqa/globalscope/tree/ccr-bae6bdbf-qv17eb/media/building-a-data-centre" TargetMode="External"/><Relationship Id="rId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6" min="5" style="0" width="12"/>
    <col collapsed="false" customWidth="true" hidden="false" outlineLevel="0" max="9" min="7" style="0" width="11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40"/>
    <col collapsed="false" customWidth="true" hidden="false" outlineLevel="0" max="15" min="15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9.55" hidden="false" customHeight="false" outlineLevel="0" collapsed="false">
      <c r="A2" s="2" t="n">
        <v>1</v>
      </c>
      <c r="B2" s="3" t="s">
        <v>15</v>
      </c>
      <c r="C2" s="4" t="s">
        <v>16</v>
      </c>
      <c r="D2" s="4" t="s">
        <v>17</v>
      </c>
      <c r="E2" s="2" t="s">
        <v>18</v>
      </c>
      <c r="F2" s="2" t="s">
        <v>19</v>
      </c>
      <c r="G2" s="5" t="n">
        <v>63.8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tr">
        <f aca="false">IF(COUNTIF(H2:L2,"Yes")=5,"Done",IF(B2="","In inbox","In progress"))</f>
        <v>Done</v>
      </c>
      <c r="N2" s="4" t="s">
        <v>21</v>
      </c>
      <c r="O2" s="6" t="s">
        <v>22</v>
      </c>
    </row>
    <row r="3" customFormat="false" ht="26.85" hidden="false" customHeight="false" outlineLevel="0" collapsed="false">
      <c r="A3" s="2" t="n">
        <v>2</v>
      </c>
      <c r="B3" s="3" t="s">
        <v>23</v>
      </c>
      <c r="C3" s="4" t="s">
        <v>24</v>
      </c>
      <c r="D3" s="4" t="s">
        <v>25</v>
      </c>
      <c r="E3" s="2" t="s">
        <v>18</v>
      </c>
      <c r="F3" s="2" t="s">
        <v>19</v>
      </c>
      <c r="G3" s="5" t="n">
        <v>61</v>
      </c>
      <c r="H3" s="2" t="s">
        <v>20</v>
      </c>
      <c r="I3" s="2" t="s">
        <v>20</v>
      </c>
      <c r="J3" s="2" t="s">
        <v>20</v>
      </c>
      <c r="K3" s="2" t="s">
        <v>20</v>
      </c>
      <c r="L3" s="2" t="s">
        <v>20</v>
      </c>
      <c r="M3" s="2" t="str">
        <f aca="false">IF(COUNTIF(H3:L3,"Yes")=5,"Done",IF(B3="","In inbox","In progress"))</f>
        <v>Done</v>
      </c>
      <c r="N3" s="4"/>
      <c r="O3" s="6" t="s">
        <v>22</v>
      </c>
    </row>
    <row r="4" customFormat="false" ht="26.85" hidden="false" customHeight="false" outlineLevel="0" collapsed="false">
      <c r="A4" s="2" t="n">
        <v>3</v>
      </c>
      <c r="B4" s="3" t="s">
        <v>26</v>
      </c>
      <c r="C4" s="4" t="s">
        <v>27</v>
      </c>
      <c r="D4" s="4" t="s">
        <v>28</v>
      </c>
      <c r="E4" s="2" t="s">
        <v>29</v>
      </c>
      <c r="F4" s="2" t="s">
        <v>19</v>
      </c>
      <c r="G4" s="5" t="n">
        <v>61</v>
      </c>
      <c r="H4" s="2" t="s">
        <v>20</v>
      </c>
      <c r="I4" s="2" t="s">
        <v>20</v>
      </c>
      <c r="J4" s="2" t="s">
        <v>20</v>
      </c>
      <c r="K4" s="2" t="s">
        <v>20</v>
      </c>
      <c r="L4" s="2" t="s">
        <v>20</v>
      </c>
      <c r="M4" s="2" t="str">
        <f aca="false">IF(COUNTIF(H4:L4,"Yes")=5,"Done",IF(B4="","In inbox","In progress"))</f>
        <v>Done</v>
      </c>
      <c r="N4" s="4"/>
      <c r="O4" s="6" t="s">
        <v>22</v>
      </c>
    </row>
    <row r="5" customFormat="false" ht="39.55" hidden="false" customHeight="false" outlineLevel="0" collapsed="false">
      <c r="A5" s="2" t="n">
        <v>4</v>
      </c>
      <c r="B5" s="3" t="s">
        <v>30</v>
      </c>
      <c r="C5" s="4" t="s">
        <v>31</v>
      </c>
      <c r="D5" s="4" t="s">
        <v>32</v>
      </c>
      <c r="E5" s="2" t="s">
        <v>19</v>
      </c>
      <c r="F5" s="2" t="s">
        <v>19</v>
      </c>
      <c r="G5" s="5" t="n">
        <v>41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tr">
        <f aca="false">IF(COUNTIF(H5:L5,"Yes")=5,"Done",IF(B5="","In inbox","In progress"))</f>
        <v>Done</v>
      </c>
      <c r="N5" s="4" t="s">
        <v>33</v>
      </c>
      <c r="O5" s="6" t="s">
        <v>22</v>
      </c>
    </row>
  </sheetData>
  <autoFilter ref="A1:O5"/>
  <conditionalFormatting sqref="H2:L5">
    <cfRule type="expression" priority="2" aboveAverage="0" equalAverage="0" bottom="0" percent="0" rank="0" text="" dxfId="6">
      <formula>H2="Yes"</formula>
    </cfRule>
    <cfRule type="expression" priority="3" aboveAverage="0" equalAverage="0" bottom="0" percent="0" rank="0" text="" dxfId="7">
      <formula>H2="No"</formula>
    </cfRule>
  </conditionalFormatting>
  <conditionalFormatting sqref="M2:M5">
    <cfRule type="expression" priority="4" aboveAverage="0" equalAverage="0" bottom="0" percent="0" rank="0" text="" dxfId="8">
      <formula>M2="Done"</formula>
    </cfRule>
    <cfRule type="expression" priority="5" aboveAverage="0" equalAverage="0" bottom="0" percent="0" rank="0" text="" dxfId="9">
      <formula>M2="In progress"</formula>
    </cfRule>
    <cfRule type="expression" priority="6" aboveAverage="0" equalAverage="0" bottom="0" percent="0" rank="0" text="" dxfId="10">
      <formula>M2="In inbox"</formula>
    </cfRule>
  </conditionalFormatting>
  <dataValidations count="1">
    <dataValidation allowBlank="true" errorStyle="stop" operator="between" showDropDown="false" showErrorMessage="false" showInputMessage="false" sqref="H2:L5" type="list">
      <formula1>"Yes,No"</formula1>
      <formula2>0</formula2>
    </dataValidation>
  </dataValidations>
  <hyperlinks>
    <hyperlink ref="O2" r:id="rId1" display="Open folder"/>
    <hyperlink ref="O3" r:id="rId2" display="Open folder"/>
    <hyperlink ref="O4" r:id="rId3" display="Open folder"/>
    <hyperlink ref="O5" r:id="rId4" display="Open fold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7" t="s">
        <v>34</v>
      </c>
    </row>
    <row r="3" customFormat="false" ht="15" hidden="false" customHeight="false" outlineLevel="0" collapsed="false">
      <c r="A3" s="8" t="s">
        <v>35</v>
      </c>
      <c r="B3" s="9" t="n">
        <f aca="false">COUNTA(Videos!C2:C5)</f>
        <v>4</v>
      </c>
    </row>
    <row r="4" customFormat="false" ht="15" hidden="false" customHeight="false" outlineLevel="0" collapsed="false">
      <c r="A4" s="8" t="s">
        <v>36</v>
      </c>
      <c r="B4" s="9" t="n">
        <f aca="false">COUNTIF(Videos!M2:M5,"Done")</f>
        <v>4</v>
      </c>
    </row>
    <row r="5" customFormat="false" ht="15" hidden="false" customHeight="false" outlineLevel="0" collapsed="false">
      <c r="A5" s="8" t="s">
        <v>37</v>
      </c>
      <c r="B5" s="9" t="n">
        <f aca="false">COUNTIF(Videos!M2:M5,"In progress")</f>
        <v>0</v>
      </c>
    </row>
    <row r="6" customFormat="false" ht="15" hidden="false" customHeight="false" outlineLevel="0" collapsed="false">
      <c r="A6" s="8" t="s">
        <v>38</v>
      </c>
      <c r="B6" s="9" t="n">
        <f aca="false">COUNTIF(Videos!M2:M5,"In inbox")</f>
        <v>0</v>
      </c>
    </row>
    <row r="7" customFormat="false" ht="15" hidden="false" customHeight="false" outlineLevel="0" collapsed="false">
      <c r="A7" s="8" t="s">
        <v>39</v>
      </c>
      <c r="B7" s="9" t="n">
        <f aca="false">SUM(Videos!G2:G5)</f>
        <v>226.8</v>
      </c>
    </row>
    <row r="10" customFormat="false" ht="15" hidden="false" customHeight="false" outlineLevel="0" collapsed="false">
      <c r="A10" s="8" t="s">
        <v>40</v>
      </c>
    </row>
    <row r="11" customFormat="false" ht="15" hidden="false" customHeight="false" outlineLevel="0" collapsed="false">
      <c r="A11" s="9" t="s">
        <v>41</v>
      </c>
    </row>
    <row r="12" customFormat="false" ht="15" hidden="false" customHeight="false" outlineLevel="0" collapsed="false">
      <c r="A12" s="9" t="s">
        <v>42</v>
      </c>
    </row>
    <row r="13" customFormat="false" ht="15" hidden="false" customHeight="false" outlineLevel="0" collapsed="false">
      <c r="A13" s="9" t="s">
        <v>43</v>
      </c>
    </row>
    <row r="14" customFormat="false" ht="15" hidden="false" customHeight="false" outlineLevel="0" collapsed="false">
      <c r="A14" s="9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2026-10-31T16:52:09Z</dcterms:created>
  <dc:creator>openpyxl</dc:creator>
  <dc:description/>
  <dc:language>en-US</dc:language>
  <cp:lastModifiedBy/>
  <dcterms:modified xsi:type="dcterms:W3CDTF">2026-10-31T16:52:09Z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